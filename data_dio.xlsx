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ixa-my.sharepoint.com/personal/c132586_corp_caixa_gov_br/Documents/Área de Trabalho/"/>
    </mc:Choice>
  </mc:AlternateContent>
  <xr:revisionPtr revIDLastSave="642" documentId="8_{1C9ACD5F-2878-48CD-990B-85BA0EBD097E}" xr6:coauthVersionLast="47" xr6:coauthVersionMax="47" xr10:uidLastSave="{EA2A23B1-70B2-4652-BE0F-1932AA023A4C}"/>
  <bookViews>
    <workbookView xWindow="10130" yWindow="-830" windowWidth="19420" windowHeight="10300" activeTab="2" xr2:uid="{38B5AFCA-5439-40C9-B91F-B4714DAAC263}"/>
  </bookViews>
  <sheets>
    <sheet name="Data" sheetId="1" r:id="rId1"/>
    <sheet name="Controller" sheetId="3" r:id="rId2"/>
    <sheet name="Dashboard" sheetId="4" r:id="rId3"/>
    <sheet name="Caixinha" sheetId="6" r:id="rId4"/>
  </sheets>
  <definedNames>
    <definedName name="SegmentaçãodeDados_Categoria">#N/A</definedName>
    <definedName name="SegmentaçãodeDados_Mês">#N/A</definedName>
  </definedNames>
  <calcPr calcId="191029"/>
  <pivotCaches>
    <pivotCache cacheId="1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</calcChain>
</file>

<file path=xl/sharedStrings.xml><?xml version="1.0" encoding="utf-8"?>
<sst xmlns="http://schemas.openxmlformats.org/spreadsheetml/2006/main" count="164" uniqueCount="46">
  <si>
    <t xml:space="preserve">Data </t>
  </si>
  <si>
    <t>Tipo</t>
  </si>
  <si>
    <t>Descrição</t>
  </si>
  <si>
    <t>Valor</t>
  </si>
  <si>
    <t>Categoria</t>
  </si>
  <si>
    <t>Operação Bancária</t>
  </si>
  <si>
    <t>Status</t>
  </si>
  <si>
    <t>ENTRADA</t>
  </si>
  <si>
    <t>Renda Fixa</t>
  </si>
  <si>
    <t>Trasferência</t>
  </si>
  <si>
    <t>Recebido</t>
  </si>
  <si>
    <t>SAÍDA</t>
  </si>
  <si>
    <t>Diarista</t>
  </si>
  <si>
    <t>Pix</t>
  </si>
  <si>
    <t>Débito</t>
  </si>
  <si>
    <t>Farmácia</t>
  </si>
  <si>
    <t>Academia</t>
  </si>
  <si>
    <t>Pet shop</t>
  </si>
  <si>
    <t>Plano Saúde</t>
  </si>
  <si>
    <t>Pendente</t>
  </si>
  <si>
    <t>Salário Mensal</t>
  </si>
  <si>
    <t>Supermercado</t>
  </si>
  <si>
    <t>Itens Básicos</t>
  </si>
  <si>
    <t>Casa</t>
  </si>
  <si>
    <t>Saúde</t>
  </si>
  <si>
    <t>Pet Care</t>
  </si>
  <si>
    <t>Cortinas</t>
  </si>
  <si>
    <t>Vestuário</t>
  </si>
  <si>
    <t>Roupas Joaquim</t>
  </si>
  <si>
    <t xml:space="preserve">Roupas </t>
  </si>
  <si>
    <t>Presente</t>
  </si>
  <si>
    <t xml:space="preserve">Compras natal </t>
  </si>
  <si>
    <t>Pago</t>
  </si>
  <si>
    <t>Rótulos de Linha</t>
  </si>
  <si>
    <t>Total Geral</t>
  </si>
  <si>
    <t>Soma de Valor</t>
  </si>
  <si>
    <t>Mês</t>
  </si>
  <si>
    <t>Data Lançamento</t>
  </si>
  <si>
    <t>Depósito Reservado</t>
  </si>
  <si>
    <t>IF</t>
  </si>
  <si>
    <t>Banco Inter</t>
  </si>
  <si>
    <t>CEF</t>
  </si>
  <si>
    <t>Poupança</t>
  </si>
  <si>
    <t>Fundos</t>
  </si>
  <si>
    <t>Total Reservado</t>
  </si>
  <si>
    <t xml:space="preserve">Total Meta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</si>
</sst>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E7CF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1" fontId="0" fillId="0" borderId="0" xfId="0" applyNumberFormat="1"/>
    <xf numFmtId="0" fontId="0" fillId="4" borderId="1" xfId="0" applyFill="1" applyBorder="1"/>
    <xf numFmtId="44" fontId="0" fillId="0" borderId="1" xfId="1" applyFont="1" applyBorder="1"/>
  </cellXfs>
  <cellStyles count="2">
    <cellStyle name="Moeda" xfId="1" builtinId="4"/>
    <cellStyle name="Normal" xfId="0" builtinId="0"/>
  </cellStyles>
  <dxfs count="3">
    <dxf>
      <font>
        <sz val="12"/>
        <color theme="0"/>
      </font>
      <border>
        <bottom style="thin">
          <color theme="5"/>
        </bottom>
        <vertical/>
        <horizontal/>
      </border>
    </dxf>
    <dxf>
      <font>
        <color theme="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numFmt numFmtId="1" formatCode="0"/>
    </dxf>
  </dxfs>
  <tableStyles count="1" defaultTableStyle="TableStyleMedium2" defaultPivotStyle="PivotStyleLight16">
    <tableStyle name="SlicerStyleDark2 2" pivot="0" table="0" count="10" xr9:uid="{91D8B9FF-C2E3-410E-B077-68C4EC38A7AE}">
      <tableStyleElement type="wholeTable" dxfId="1"/>
      <tableStyleElement type="headerRow" dxfId="0"/>
    </tableStyle>
  </tableStyles>
  <colors>
    <mruColors>
      <color rgb="FFCE7CFC"/>
      <color rgb="FF9205E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CE7CFC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[data_dio.xlsx]Controller!Tabela dinâmica1</c:name>
    <c:fmtId val="5"/>
  </c:pivotSource>
  <c:chart>
    <c:autoTitleDeleted val="1"/>
    <c:pivotFmts>
      <c:pivotFmt>
        <c:idx val="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2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3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4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5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6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7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9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10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11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12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13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14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16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17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18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19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20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46000">
                  <a:schemeClr val="accent1">
                    <a:lumMod val="45000"/>
                    <a:lumOff val="55000"/>
                  </a:schemeClr>
                </a:gs>
                <a:gs pos="100000">
                  <a:srgbClr val="CE7CFC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46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CE7CFC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F9-4159-BC02-E7AA4DBA793C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46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CE7CFC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F9-4159-BC02-E7AA4DBA793C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46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CE7CFC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F9-4159-BC02-E7AA4DBA793C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46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CE7CFC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7F9-4159-BC02-E7AA4DBA793C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46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CE7CFC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7F9-4159-BC02-E7AA4DBA793C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46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CE7CFC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7F9-4159-BC02-E7AA4DBA79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Controller!$A$4:$A$10</c:f>
              <c:strCache>
                <c:ptCount val="6"/>
                <c:pt idx="0">
                  <c:v>Casa</c:v>
                </c:pt>
                <c:pt idx="1">
                  <c:v>Itens Básicos</c:v>
                </c:pt>
                <c:pt idx="2">
                  <c:v>Pet Care</c:v>
                </c:pt>
                <c:pt idx="3">
                  <c:v>Presente</c:v>
                </c:pt>
                <c:pt idx="4">
                  <c:v>Saúde</c:v>
                </c:pt>
                <c:pt idx="5">
                  <c:v>Vestuário</c:v>
                </c:pt>
              </c:strCache>
            </c:strRef>
          </c:cat>
          <c:val>
            <c:numRef>
              <c:f>Controller!$B$4:$B$10</c:f>
              <c:numCache>
                <c:formatCode>"R$"\ #,##0.00</c:formatCode>
                <c:ptCount val="6"/>
                <c:pt idx="0">
                  <c:v>1700</c:v>
                </c:pt>
                <c:pt idx="1">
                  <c:v>1400</c:v>
                </c:pt>
                <c:pt idx="2">
                  <c:v>250</c:v>
                </c:pt>
                <c:pt idx="3">
                  <c:v>1200</c:v>
                </c:pt>
                <c:pt idx="4">
                  <c:v>1620</c:v>
                </c:pt>
                <c:pt idx="5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7F9-4159-BC02-E7AA4DBA79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387861376"/>
        <c:axId val="1387872192"/>
      </c:barChart>
      <c:catAx>
        <c:axId val="138786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7872192"/>
        <c:crosses val="autoZero"/>
        <c:auto val="1"/>
        <c:lblAlgn val="ctr"/>
        <c:lblOffset val="100"/>
        <c:noMultiLvlLbl val="0"/>
      </c:catAx>
      <c:valAx>
        <c:axId val="1387872192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878613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[data_dio.xlsx]Controller!Tabela dinâmica3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1">
                  <a:lumMod val="20000"/>
                  <a:lumOff val="80000"/>
                </a:schemeClr>
              </a:gs>
              <a:gs pos="46000">
                <a:schemeClr val="accent1">
                  <a:lumMod val="45000"/>
                  <a:lumOff val="55000"/>
                </a:schemeClr>
              </a:gs>
              <a:gs pos="100000">
                <a:srgbClr val="CE7CFC"/>
              </a:gs>
            </a:gsLst>
            <a:lin ang="5400000" scaled="1"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46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CE7CFC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E4-4F76-8A43-5A643C026A05}"/>
              </c:ext>
            </c:extLst>
          </c:dPt>
          <c:cat>
            <c:strRef>
              <c:f>Controller!$A$19:$A$20</c:f>
              <c:strCache>
                <c:ptCount val="1"/>
                <c:pt idx="0">
                  <c:v>Renda Fixa</c:v>
                </c:pt>
              </c:strCache>
            </c:strRef>
          </c:cat>
          <c:val>
            <c:numRef>
              <c:f>Controller!$B$19:$B$20</c:f>
              <c:numCache>
                <c:formatCode>"R$"\ #,##0.00</c:formatCode>
                <c:ptCount val="1"/>
                <c:pt idx="0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E4-4F76-8A43-5A643C026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774911"/>
        <c:axId val="437755359"/>
      </c:barChart>
      <c:catAx>
        <c:axId val="43777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7755359"/>
        <c:crosses val="autoZero"/>
        <c:auto val="1"/>
        <c:lblAlgn val="ctr"/>
        <c:lblOffset val="100"/>
        <c:noMultiLvlLbl val="0"/>
      </c:catAx>
      <c:valAx>
        <c:axId val="437755359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43777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Caixinha!$B$2</c:f>
              <c:strCache>
                <c:ptCount val="1"/>
                <c:pt idx="0">
                  <c:v>Total Reservado</c:v>
                </c:pt>
              </c:strCache>
            </c:strRef>
          </c:tx>
          <c:spPr>
            <a:gradFill>
              <a:gsLst>
                <a:gs pos="0">
                  <a:schemeClr val="tx2">
                    <a:lumMod val="20000"/>
                    <a:lumOff val="80000"/>
                  </a:schemeClr>
                </a:gs>
                <a:gs pos="46000">
                  <a:schemeClr val="accent1">
                    <a:lumMod val="45000"/>
                    <a:lumOff val="55000"/>
                  </a:schemeClr>
                </a:gs>
                <a:gs pos="100000">
                  <a:srgbClr val="CE7CFC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Caixinha!$C$2</c:f>
              <c:numCache>
                <c:formatCode>_("R$"* #,##0.00_);_("R$"* \(#,##0.00\);_("R$"* "-"??_);_(@_)</c:formatCode>
                <c:ptCount val="1"/>
                <c:pt idx="0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D-40A1-89C9-5B717106D64C}"/>
            </c:ext>
          </c:extLst>
        </c:ser>
        <c:ser>
          <c:idx val="1"/>
          <c:order val="1"/>
          <c:tx>
            <c:strRef>
              <c:f>Caixinha!$B$3</c:f>
              <c:strCache>
                <c:ptCount val="1"/>
                <c:pt idx="0">
                  <c:v>Total Meta </c:v>
                </c:pt>
              </c:strCache>
            </c:strRef>
          </c:tx>
          <c:spPr>
            <a:solidFill>
              <a:srgbClr val="CE7CF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Caixinha!$C$3</c:f>
              <c:numCache>
                <c:formatCode>_("R$"* #,##0.00_);_("R$"* \(#,##0.00\);_("R$"* "-"??_);_(@_)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DD-40A1-89C9-5B717106D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2483935"/>
        <c:axId val="662498911"/>
      </c:barChart>
      <c:catAx>
        <c:axId val="66248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2498911"/>
        <c:crosses val="autoZero"/>
        <c:auto val="1"/>
        <c:lblAlgn val="ctr"/>
        <c:lblOffset val="100"/>
        <c:noMultiLvlLbl val="0"/>
      </c:catAx>
      <c:valAx>
        <c:axId val="66249891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6248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hyperlink" Target="#Data!A1"/><Relationship Id="rId12" Type="http://schemas.openxmlformats.org/officeDocument/2006/relationships/image" Target="../media/image9.png"/><Relationship Id="rId17" Type="http://schemas.openxmlformats.org/officeDocument/2006/relationships/image" Target="../media/image14.svg"/><Relationship Id="rId2" Type="http://schemas.openxmlformats.org/officeDocument/2006/relationships/image" Target="../media/image1.png"/><Relationship Id="rId16" Type="http://schemas.openxmlformats.org/officeDocument/2006/relationships/image" Target="../media/image13.png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image" Target="../media/image12.svg"/><Relationship Id="rId10" Type="http://schemas.openxmlformats.org/officeDocument/2006/relationships/image" Target="../media/image7.png"/><Relationship Id="rId4" Type="http://schemas.openxmlformats.org/officeDocument/2006/relationships/chart" Target="../charts/chart2.xml"/><Relationship Id="rId9" Type="http://schemas.openxmlformats.org/officeDocument/2006/relationships/image" Target="../media/image6.svg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39462</xdr:colOff>
      <xdr:row>1</xdr:row>
      <xdr:rowOff>115206</xdr:rowOff>
    </xdr:from>
    <xdr:to>
      <xdr:col>0</xdr:col>
      <xdr:colOff>2105025</xdr:colOff>
      <xdr:row>4</xdr:row>
      <xdr:rowOff>78922</xdr:rowOff>
    </xdr:to>
    <xdr:sp macro="" textlink="">
      <xdr:nvSpPr>
        <xdr:cNvPr id="57" name="Retângulo: Cantos Arredondados 56">
          <a:extLst>
            <a:ext uri="{FF2B5EF4-FFF2-40B4-BE49-F238E27FC236}">
              <a16:creationId xmlns:a16="http://schemas.microsoft.com/office/drawing/2014/main" id="{38E0146C-DC64-721F-9637-74AF31E702AE}"/>
            </a:ext>
          </a:extLst>
        </xdr:cNvPr>
        <xdr:cNvSpPr/>
      </xdr:nvSpPr>
      <xdr:spPr>
        <a:xfrm>
          <a:off x="39462" y="305706"/>
          <a:ext cx="2065563" cy="535216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ctr"/>
          <a:r>
            <a:rPr lang="pt-BR" sz="1600">
              <a:solidFill>
                <a:srgbClr val="CE7CFC"/>
              </a:solidFill>
              <a:latin typeface="Abadi" panose="020B0604020202020204" pitchFamily="34" charset="0"/>
              <a:cs typeface="Aharoni" panose="02010803020104030203" pitchFamily="2" charset="-79"/>
            </a:rPr>
            <a:t>APP MONEY</a:t>
          </a:r>
        </a:p>
      </xdr:txBody>
    </xdr:sp>
    <xdr:clientData/>
  </xdr:twoCellAnchor>
  <xdr:twoCellAnchor>
    <xdr:from>
      <xdr:col>11</xdr:col>
      <xdr:colOff>274182</xdr:colOff>
      <xdr:row>7</xdr:row>
      <xdr:rowOff>52804</xdr:rowOff>
    </xdr:from>
    <xdr:to>
      <xdr:col>19</xdr:col>
      <xdr:colOff>424218</xdr:colOff>
      <xdr:row>23</xdr:row>
      <xdr:rowOff>179939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7D166F6F-69ED-CEEB-96FB-DA2F7BDCFA49}"/>
            </a:ext>
          </a:extLst>
        </xdr:cNvPr>
        <xdr:cNvGrpSpPr/>
      </xdr:nvGrpSpPr>
      <xdr:grpSpPr>
        <a:xfrm>
          <a:off x="8541428" y="1386304"/>
          <a:ext cx="5012322" cy="3178310"/>
          <a:chOff x="7762420" y="422691"/>
          <a:chExt cx="5026836" cy="3175135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B6734F5D-DDA2-FEDB-87E9-CA8E38DB39EC}"/>
              </a:ext>
            </a:extLst>
          </xdr:cNvPr>
          <xdr:cNvGrpSpPr/>
        </xdr:nvGrpSpPr>
        <xdr:grpSpPr>
          <a:xfrm>
            <a:off x="7762420" y="422691"/>
            <a:ext cx="5026836" cy="3175135"/>
            <a:chOff x="2085520" y="267116"/>
            <a:chExt cx="5020486" cy="3178310"/>
          </a:xfrm>
        </xdr:grpSpPr>
        <xdr:grpSp>
          <xdr:nvGrpSpPr>
            <xdr:cNvPr id="11" name="Agrupar 10">
              <a:extLst>
                <a:ext uri="{FF2B5EF4-FFF2-40B4-BE49-F238E27FC236}">
                  <a16:creationId xmlns:a16="http://schemas.microsoft.com/office/drawing/2014/main" id="{19BC0828-B0F8-D522-0D88-78A909F7A249}"/>
                </a:ext>
              </a:extLst>
            </xdr:cNvPr>
            <xdr:cNvGrpSpPr/>
          </xdr:nvGrpSpPr>
          <xdr:grpSpPr>
            <a:xfrm>
              <a:off x="2117044" y="267116"/>
              <a:ext cx="4992137" cy="3178310"/>
              <a:chOff x="1993416" y="269877"/>
              <a:chExt cx="4971293" cy="3222070"/>
            </a:xfrm>
          </xdr:grpSpPr>
          <xdr:sp macro="" textlink="">
            <xdr:nvSpPr>
              <xdr:cNvPr id="8" name="Retângulo: Cantos Arredondados 7">
                <a:extLst>
                  <a:ext uri="{FF2B5EF4-FFF2-40B4-BE49-F238E27FC236}">
                    <a16:creationId xmlns:a16="http://schemas.microsoft.com/office/drawing/2014/main" id="{3F43BBA6-DDF2-943C-24BA-F0EAAE44587C}"/>
                  </a:ext>
                </a:extLst>
              </xdr:cNvPr>
              <xdr:cNvSpPr/>
            </xdr:nvSpPr>
            <xdr:spPr>
              <a:xfrm>
                <a:off x="1993416" y="305973"/>
                <a:ext cx="4970877" cy="3185974"/>
              </a:xfrm>
              <a:prstGeom prst="roundRect">
                <a:avLst>
                  <a:gd name="adj" fmla="val 6530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10" name="Retângulo: Cantos Superiores Arredondados 9">
                <a:extLst>
                  <a:ext uri="{FF2B5EF4-FFF2-40B4-BE49-F238E27FC236}">
                    <a16:creationId xmlns:a16="http://schemas.microsoft.com/office/drawing/2014/main" id="{6FE26DBA-F9FB-405B-CA1B-10EDA529BA87}"/>
                  </a:ext>
                </a:extLst>
              </xdr:cNvPr>
              <xdr:cNvSpPr/>
            </xdr:nvSpPr>
            <xdr:spPr>
              <a:xfrm>
                <a:off x="1994728" y="269877"/>
                <a:ext cx="4969981" cy="478180"/>
              </a:xfrm>
              <a:prstGeom prst="round2SameRect">
                <a:avLst>
                  <a:gd name="adj1" fmla="val 44253"/>
                  <a:gd name="adj2" fmla="val 0"/>
                </a:avLst>
              </a:prstGeom>
              <a:solidFill>
                <a:srgbClr val="CE7CFC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pt-BR" sz="2000" b="1">
                    <a:latin typeface="Segoe UI Light" panose="020B0502040204020203" pitchFamily="34" charset="0"/>
                    <a:cs typeface="Segoe UI Light" panose="020B0502040204020203" pitchFamily="34" charset="0"/>
                  </a:rPr>
                  <a:t>Saídas</a:t>
                </a:r>
              </a:p>
            </xdr:txBody>
          </xdr:sp>
        </xdr:grp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827F282E-077F-428D-801F-1DCFCC4E183E}"/>
                </a:ext>
              </a:extLst>
            </xdr:cNvPr>
            <xdr:cNvGraphicFramePr>
              <a:graphicFrameLocks/>
            </xdr:cNvGraphicFramePr>
          </xdr:nvGraphicFramePr>
          <xdr:xfrm>
            <a:off x="2085520" y="846818"/>
            <a:ext cx="4913085" cy="254680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pic>
        <xdr:nvPicPr>
          <xdr:cNvPr id="22" name="Gráfico 21" descr="Dinheiro voador estrutura de tópicos">
            <a:extLst>
              <a:ext uri="{FF2B5EF4-FFF2-40B4-BE49-F238E27FC236}">
                <a16:creationId xmlns:a16="http://schemas.microsoft.com/office/drawing/2014/main" id="{8F0612FC-E6CC-4BFC-11E8-00691E277D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7908925" y="471810"/>
            <a:ext cx="400050" cy="3810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134938</xdr:colOff>
      <xdr:row>7</xdr:row>
      <xdr:rowOff>52804</xdr:rowOff>
    </xdr:from>
    <xdr:to>
      <xdr:col>10</xdr:col>
      <xdr:colOff>250275</xdr:colOff>
      <xdr:row>23</xdr:row>
      <xdr:rowOff>186289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DB7ADEA6-296B-3A28-4D79-6F5649A42469}"/>
            </a:ext>
          </a:extLst>
        </xdr:cNvPr>
        <xdr:cNvGrpSpPr/>
      </xdr:nvGrpSpPr>
      <xdr:grpSpPr>
        <a:xfrm>
          <a:off x="2928938" y="1386304"/>
          <a:ext cx="4977623" cy="3181485"/>
          <a:chOff x="2142444" y="422691"/>
          <a:chExt cx="4992137" cy="3181485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26A353AF-FFCB-215F-8ED0-AF0ED2B33559}"/>
              </a:ext>
            </a:extLst>
          </xdr:cNvPr>
          <xdr:cNvGrpSpPr/>
        </xdr:nvGrpSpPr>
        <xdr:grpSpPr>
          <a:xfrm>
            <a:off x="2142444" y="422691"/>
            <a:ext cx="4992137" cy="3181485"/>
            <a:chOff x="7489144" y="259405"/>
            <a:chExt cx="4992137" cy="3178310"/>
          </a:xfrm>
        </xdr:grpSpPr>
        <xdr:grpSp>
          <xdr:nvGrpSpPr>
            <xdr:cNvPr id="12" name="Agrupar 11">
              <a:extLst>
                <a:ext uri="{FF2B5EF4-FFF2-40B4-BE49-F238E27FC236}">
                  <a16:creationId xmlns:a16="http://schemas.microsoft.com/office/drawing/2014/main" id="{A8E9532E-405B-4481-BFF1-3EDB2B7C39F1}"/>
                </a:ext>
              </a:extLst>
            </xdr:cNvPr>
            <xdr:cNvGrpSpPr/>
          </xdr:nvGrpSpPr>
          <xdr:grpSpPr>
            <a:xfrm>
              <a:off x="7489144" y="262580"/>
              <a:ext cx="4992137" cy="3178310"/>
              <a:chOff x="1993416" y="269877"/>
              <a:chExt cx="4971293" cy="3222070"/>
            </a:xfrm>
          </xdr:grpSpPr>
          <xdr:sp macro="" textlink="">
            <xdr:nvSpPr>
              <xdr:cNvPr id="13" name="Retângulo: Cantos Arredondados 12">
                <a:extLst>
                  <a:ext uri="{FF2B5EF4-FFF2-40B4-BE49-F238E27FC236}">
                    <a16:creationId xmlns:a16="http://schemas.microsoft.com/office/drawing/2014/main" id="{65484191-3EB2-83DD-E6AA-0B524D17DB92}"/>
                  </a:ext>
                </a:extLst>
              </xdr:cNvPr>
              <xdr:cNvSpPr/>
            </xdr:nvSpPr>
            <xdr:spPr>
              <a:xfrm>
                <a:off x="1993416" y="305973"/>
                <a:ext cx="4970877" cy="3185974"/>
              </a:xfrm>
              <a:prstGeom prst="roundRect">
                <a:avLst>
                  <a:gd name="adj" fmla="val 6530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14" name="Retângulo: Cantos Superiores Arredondados 13">
                <a:extLst>
                  <a:ext uri="{FF2B5EF4-FFF2-40B4-BE49-F238E27FC236}">
                    <a16:creationId xmlns:a16="http://schemas.microsoft.com/office/drawing/2014/main" id="{F48A4FB4-6E6D-AF3A-E631-996533CCEBF6}"/>
                  </a:ext>
                </a:extLst>
              </xdr:cNvPr>
              <xdr:cNvSpPr/>
            </xdr:nvSpPr>
            <xdr:spPr>
              <a:xfrm>
                <a:off x="1994728" y="269877"/>
                <a:ext cx="4969981" cy="478180"/>
              </a:xfrm>
              <a:prstGeom prst="round2SameRect">
                <a:avLst>
                  <a:gd name="adj1" fmla="val 44253"/>
                  <a:gd name="adj2" fmla="val 0"/>
                </a:avLst>
              </a:prstGeom>
              <a:solidFill>
                <a:srgbClr val="CE7CFC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pt-BR" sz="2000" b="1">
                    <a:solidFill>
                      <a:schemeClr val="lt1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rPr>
                  <a:t>Entradas</a:t>
                </a:r>
              </a:p>
            </xdr:txBody>
          </xdr:sp>
        </xdr:grpSp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CB2A5AA-13D6-4939-B1FC-F32DC6B89A72}"/>
                </a:ext>
              </a:extLst>
            </xdr:cNvPr>
            <xdr:cNvGraphicFramePr>
              <a:graphicFrameLocks/>
            </xdr:cNvGraphicFramePr>
          </xdr:nvGraphicFramePr>
          <xdr:xfrm>
            <a:off x="7770812" y="506412"/>
            <a:ext cx="4564063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pic>
        <xdr:nvPicPr>
          <xdr:cNvPr id="24" name="Gráfico 23" descr="Registrar estrutura de tópicos">
            <a:extLst>
              <a:ext uri="{FF2B5EF4-FFF2-40B4-BE49-F238E27FC236}">
                <a16:creationId xmlns:a16="http://schemas.microsoft.com/office/drawing/2014/main" id="{B2A3612C-F71D-A429-4F98-C46CF2DD97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232802" y="491745"/>
            <a:ext cx="398257" cy="381381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6</xdr:row>
      <xdr:rowOff>70302</xdr:rowOff>
    </xdr:from>
    <xdr:to>
      <xdr:col>0</xdr:col>
      <xdr:colOff>2186213</xdr:colOff>
      <xdr:row>14</xdr:row>
      <xdr:rowOff>29027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Mês">
              <a:extLst>
                <a:ext uri="{FF2B5EF4-FFF2-40B4-BE49-F238E27FC236}">
                  <a16:creationId xmlns:a16="http://schemas.microsoft.com/office/drawing/2014/main" id="{CC247985-D4F6-415C-B7ED-51331DF6E7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16477"/>
              <a:ext cx="2179863" cy="148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15</xdr:row>
      <xdr:rowOff>142196</xdr:rowOff>
    </xdr:from>
    <xdr:to>
      <xdr:col>0</xdr:col>
      <xdr:colOff>2186213</xdr:colOff>
      <xdr:row>27</xdr:row>
      <xdr:rowOff>167596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Categoria">
              <a:extLst>
                <a:ext uri="{FF2B5EF4-FFF2-40B4-BE49-F238E27FC236}">
                  <a16:creationId xmlns:a16="http://schemas.microsoft.com/office/drawing/2014/main" id="{3A5A7BD2-E50D-455F-86E9-D7911233D0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02871"/>
              <a:ext cx="2179863" cy="230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134938</xdr:colOff>
      <xdr:row>1</xdr:row>
      <xdr:rowOff>15875</xdr:rowOff>
    </xdr:from>
    <xdr:to>
      <xdr:col>3</xdr:col>
      <xdr:colOff>396875</xdr:colOff>
      <xdr:row>4</xdr:row>
      <xdr:rowOff>187325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F5BB43CB-EF90-13E4-9E0E-92C0E37FF090}"/>
            </a:ext>
          </a:extLst>
        </xdr:cNvPr>
        <xdr:cNvSpPr/>
      </xdr:nvSpPr>
      <xdr:spPr>
        <a:xfrm>
          <a:off x="2928938" y="206375"/>
          <a:ext cx="873125" cy="742950"/>
        </a:xfrm>
        <a:prstGeom prst="roundRect">
          <a:avLst>
            <a:gd name="adj" fmla="val 22055"/>
          </a:avLst>
        </a:prstGeom>
        <a:solidFill>
          <a:srgbClr val="CE7CF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415919</xdr:colOff>
      <xdr:row>1</xdr:row>
      <xdr:rowOff>109538</xdr:rowOff>
    </xdr:from>
    <xdr:to>
      <xdr:col>12</xdr:col>
      <xdr:colOff>195257</xdr:colOff>
      <xdr:row>3</xdr:row>
      <xdr:rowOff>12701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8AA9FA6-F429-295A-3245-3AF205E100A3}"/>
            </a:ext>
          </a:extLst>
        </xdr:cNvPr>
        <xdr:cNvSpPr txBox="1"/>
      </xdr:nvSpPr>
      <xdr:spPr>
        <a:xfrm>
          <a:off x="3821107" y="300038"/>
          <a:ext cx="5280025" cy="284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Hello, Caroline!</a:t>
          </a:r>
        </a:p>
      </xdr:txBody>
    </xdr:sp>
    <xdr:clientData/>
  </xdr:twoCellAnchor>
  <xdr:twoCellAnchor>
    <xdr:from>
      <xdr:col>3</xdr:col>
      <xdr:colOff>415919</xdr:colOff>
      <xdr:row>3</xdr:row>
      <xdr:rowOff>33332</xdr:rowOff>
    </xdr:from>
    <xdr:to>
      <xdr:col>12</xdr:col>
      <xdr:colOff>195257</xdr:colOff>
      <xdr:row>4</xdr:row>
      <xdr:rowOff>130170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F8519BFD-D03B-4841-AA38-E8646F00C192}"/>
            </a:ext>
          </a:extLst>
        </xdr:cNvPr>
        <xdr:cNvSpPr txBox="1"/>
      </xdr:nvSpPr>
      <xdr:spPr>
        <a:xfrm>
          <a:off x="3821107" y="604832"/>
          <a:ext cx="5280025" cy="2873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2">
                  <a:lumMod val="2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Acompanhamento financeiro</a:t>
          </a:r>
        </a:p>
      </xdr:txBody>
    </xdr:sp>
    <xdr:clientData/>
  </xdr:twoCellAnchor>
  <xdr:twoCellAnchor>
    <xdr:from>
      <xdr:col>11</xdr:col>
      <xdr:colOff>339725</xdr:colOff>
      <xdr:row>3</xdr:row>
      <xdr:rowOff>0</xdr:rowOff>
    </xdr:from>
    <xdr:to>
      <xdr:col>19</xdr:col>
      <xdr:colOff>341312</xdr:colOff>
      <xdr:row>4</xdr:row>
      <xdr:rowOff>150813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B05FA3E9-770F-F327-A217-B9F19368490B}"/>
            </a:ext>
          </a:extLst>
        </xdr:cNvPr>
        <xdr:cNvGrpSpPr/>
      </xdr:nvGrpSpPr>
      <xdr:grpSpPr>
        <a:xfrm>
          <a:off x="8603796" y="571500"/>
          <a:ext cx="4863873" cy="341313"/>
          <a:chOff x="8634413" y="571500"/>
          <a:chExt cx="4891087" cy="341313"/>
        </a:xfrm>
      </xdr:grpSpPr>
      <xdr:sp macro="" textlink="">
        <xdr:nvSpPr>
          <xdr:cNvPr id="33" name="CaixaDeTexto 32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F3BDAB0D-E184-2E85-D78C-F803F8B0F82C}"/>
              </a:ext>
            </a:extLst>
          </xdr:cNvPr>
          <xdr:cNvSpPr txBox="1"/>
        </xdr:nvSpPr>
        <xdr:spPr>
          <a:xfrm>
            <a:off x="8634413" y="571500"/>
            <a:ext cx="4891087" cy="34131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>
                <a:solidFill>
                  <a:schemeClr val="bg2">
                    <a:lumMod val="50000"/>
                  </a:schemeClr>
                </a:solidFill>
              </a:rPr>
              <a:t>Pesquisar</a:t>
            </a:r>
            <a:r>
              <a:rPr lang="pt-BR" sz="1100" baseline="0">
                <a:solidFill>
                  <a:schemeClr val="bg2">
                    <a:lumMod val="50000"/>
                  </a:schemeClr>
                </a:solidFill>
              </a:rPr>
              <a:t> dados</a:t>
            </a:r>
            <a:endParaRPr lang="pt-BR" sz="1100">
              <a:solidFill>
                <a:schemeClr val="bg2">
                  <a:lumMod val="50000"/>
                </a:schemeClr>
              </a:solidFill>
            </a:endParaRPr>
          </a:p>
        </xdr:txBody>
      </xdr:sp>
      <xdr:pic>
        <xdr:nvPicPr>
          <xdr:cNvPr id="37" name="Gráfico 36" descr="Lupa estrutura de tópicos">
            <a:extLst>
              <a:ext uri="{FF2B5EF4-FFF2-40B4-BE49-F238E27FC236}">
                <a16:creationId xmlns:a16="http://schemas.microsoft.com/office/drawing/2014/main" id="{D3CDBDD6-DDE9-7CED-BF01-C69BD6A852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3188176" y="620048"/>
            <a:ext cx="273826" cy="253075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161924</xdr:colOff>
      <xdr:row>1</xdr:row>
      <xdr:rowOff>9525</xdr:rowOff>
    </xdr:from>
    <xdr:to>
      <xdr:col>3</xdr:col>
      <xdr:colOff>390524</xdr:colOff>
      <xdr:row>5</xdr:row>
      <xdr:rowOff>87313</xdr:rowOff>
    </xdr:to>
    <xdr:pic>
      <xdr:nvPicPr>
        <xdr:cNvPr id="40" name="Gráfico 39" descr="Perfil de mulher com preenchimento sólido">
          <a:extLst>
            <a:ext uri="{FF2B5EF4-FFF2-40B4-BE49-F238E27FC236}">
              <a16:creationId xmlns:a16="http://schemas.microsoft.com/office/drawing/2014/main" id="{D12D9E5F-2315-9ED8-A506-D4F0A02FD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955924" y="200025"/>
          <a:ext cx="839788" cy="839788"/>
        </a:xfrm>
        <a:prstGeom prst="rect">
          <a:avLst/>
        </a:prstGeom>
      </xdr:spPr>
    </xdr:pic>
    <xdr:clientData/>
  </xdr:twoCellAnchor>
  <xdr:twoCellAnchor>
    <xdr:from>
      <xdr:col>0</xdr:col>
      <xdr:colOff>92009</xdr:colOff>
      <xdr:row>1</xdr:row>
      <xdr:rowOff>42635</xdr:rowOff>
    </xdr:from>
    <xdr:to>
      <xdr:col>0</xdr:col>
      <xdr:colOff>708479</xdr:colOff>
      <xdr:row>4</xdr:row>
      <xdr:rowOff>84968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B2DD5C56-2869-955E-D2ED-4C99E0C30938}"/>
            </a:ext>
          </a:extLst>
        </xdr:cNvPr>
        <xdr:cNvGrpSpPr/>
      </xdr:nvGrpSpPr>
      <xdr:grpSpPr>
        <a:xfrm>
          <a:off x="92009" y="233135"/>
          <a:ext cx="616470" cy="617008"/>
          <a:chOff x="759601" y="0"/>
          <a:chExt cx="738999" cy="738999"/>
        </a:xfrm>
        <a:solidFill>
          <a:srgbClr val="CE7CFC"/>
        </a:solidFill>
      </xdr:grpSpPr>
      <xdr:pic>
        <xdr:nvPicPr>
          <xdr:cNvPr id="45" name="Gráfico 44" descr="Cofrinho com preenchimento sólido">
            <a:extLst>
              <a:ext uri="{FF2B5EF4-FFF2-40B4-BE49-F238E27FC236}">
                <a16:creationId xmlns:a16="http://schemas.microsoft.com/office/drawing/2014/main" id="{504ADE34-FABD-EB03-A6D0-1A9897BE03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759601" y="0"/>
            <a:ext cx="738999" cy="738999"/>
          </a:xfrm>
          <a:prstGeom prst="rect">
            <a:avLst/>
          </a:prstGeom>
        </xdr:spPr>
      </xdr:pic>
      <xdr:pic>
        <xdr:nvPicPr>
          <xdr:cNvPr id="47" name="Gráfico 46" descr="Dólar com preenchimento sólido">
            <a:extLst>
              <a:ext uri="{FF2B5EF4-FFF2-40B4-BE49-F238E27FC236}">
                <a16:creationId xmlns:a16="http://schemas.microsoft.com/office/drawing/2014/main" id="{144B5859-12B2-349D-FB47-C7E2E6AE9E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947737" y="241300"/>
            <a:ext cx="309563" cy="30956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148545</xdr:colOff>
      <xdr:row>25</xdr:row>
      <xdr:rowOff>81382</xdr:rowOff>
    </xdr:from>
    <xdr:to>
      <xdr:col>10</xdr:col>
      <xdr:colOff>263882</xdr:colOff>
      <xdr:row>42</xdr:row>
      <xdr:rowOff>24367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610ACCFD-81C4-43EC-A009-7665886BD31B}"/>
            </a:ext>
          </a:extLst>
        </xdr:cNvPr>
        <xdr:cNvGrpSpPr/>
      </xdr:nvGrpSpPr>
      <xdr:grpSpPr>
        <a:xfrm>
          <a:off x="2942545" y="4847057"/>
          <a:ext cx="4977623" cy="3181485"/>
          <a:chOff x="2142444" y="425869"/>
          <a:chExt cx="4992137" cy="3181485"/>
        </a:xfrm>
      </xdr:grpSpPr>
      <xdr:grpSp>
        <xdr:nvGrpSpPr>
          <xdr:cNvPr id="52" name="Agrupar 51">
            <a:extLst>
              <a:ext uri="{FF2B5EF4-FFF2-40B4-BE49-F238E27FC236}">
                <a16:creationId xmlns:a16="http://schemas.microsoft.com/office/drawing/2014/main" id="{A91E9C48-2024-6742-2FE3-FAAA027DBA99}"/>
              </a:ext>
            </a:extLst>
          </xdr:cNvPr>
          <xdr:cNvGrpSpPr/>
        </xdr:nvGrpSpPr>
        <xdr:grpSpPr>
          <a:xfrm>
            <a:off x="2142444" y="425869"/>
            <a:ext cx="4992137" cy="3181485"/>
            <a:chOff x="1993416" y="269877"/>
            <a:chExt cx="4971293" cy="3222070"/>
          </a:xfrm>
        </xdr:grpSpPr>
        <xdr:sp macro="" textlink="">
          <xdr:nvSpPr>
            <xdr:cNvPr id="54" name="Retângulo: Cantos Arredondados 53">
              <a:extLst>
                <a:ext uri="{FF2B5EF4-FFF2-40B4-BE49-F238E27FC236}">
                  <a16:creationId xmlns:a16="http://schemas.microsoft.com/office/drawing/2014/main" id="{2417C4C9-DF32-CBB5-352E-418AF874859D}"/>
                </a:ext>
              </a:extLst>
            </xdr:cNvPr>
            <xdr:cNvSpPr/>
          </xdr:nvSpPr>
          <xdr:spPr>
            <a:xfrm>
              <a:off x="1993416" y="305973"/>
              <a:ext cx="4970877" cy="3185974"/>
            </a:xfrm>
            <a:prstGeom prst="roundRect">
              <a:avLst>
                <a:gd name="adj" fmla="val 653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55" name="Retângulo: Cantos Superiores Arredondados 54">
              <a:extLst>
                <a:ext uri="{FF2B5EF4-FFF2-40B4-BE49-F238E27FC236}">
                  <a16:creationId xmlns:a16="http://schemas.microsoft.com/office/drawing/2014/main" id="{C88AE9C1-6C5B-0CA2-F08D-3CA0E075C429}"/>
                </a:ext>
              </a:extLst>
            </xdr:cNvPr>
            <xdr:cNvSpPr/>
          </xdr:nvSpPr>
          <xdr:spPr>
            <a:xfrm>
              <a:off x="1994728" y="269877"/>
              <a:ext cx="4969981" cy="478180"/>
            </a:xfrm>
            <a:prstGeom prst="round2SameRect">
              <a:avLst>
                <a:gd name="adj1" fmla="val 44253"/>
                <a:gd name="adj2" fmla="val 0"/>
              </a:avLst>
            </a:prstGeom>
            <a:solidFill>
              <a:srgbClr val="CE7CF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2000" b="1">
                  <a:solidFill>
                    <a:schemeClr val="lt1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rPr>
                <a:t>Econômias</a:t>
              </a:r>
            </a:p>
          </xdr:txBody>
        </xdr:sp>
      </xdr:grpSp>
      <xdr:pic>
        <xdr:nvPicPr>
          <xdr:cNvPr id="51" name="Gráfico 50" descr="Cofrinho estrutura de tópicos">
            <a:extLst>
              <a:ext uri="{FF2B5EF4-FFF2-40B4-BE49-F238E27FC236}">
                <a16:creationId xmlns:a16="http://schemas.microsoft.com/office/drawing/2014/main" id="{95910FD2-C8C0-B8C1-0B4C-446C079FE6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7"/>
              </a:ext>
            </a:extLst>
          </a:blip>
          <a:srcRect/>
          <a:stretch/>
        </xdr:blipFill>
        <xdr:spPr>
          <a:xfrm>
            <a:off x="2240684" y="491745"/>
            <a:ext cx="382493" cy="381381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333148</xdr:colOff>
      <xdr:row>28</xdr:row>
      <xdr:rowOff>9070</xdr:rowOff>
    </xdr:from>
    <xdr:to>
      <xdr:col>10</xdr:col>
      <xdr:colOff>39687</xdr:colOff>
      <xdr:row>41</xdr:row>
      <xdr:rowOff>154859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08DF74B4-09A1-40BA-8BEF-16009A234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Espindola Anderle" refreshedDate="45664.432236574074" createdVersion="8" refreshedVersion="8" minRefreshableVersion="3" recordCount="25" xr:uid="{C2F8E6EA-5D98-4DE7-812A-A58B845C5BAB}">
  <cacheSource type="worksheet">
    <worksheetSource name="Tbl_operations"/>
  </cacheSource>
  <cacheFields count="8">
    <cacheField name="Data " numFmtId="14">
      <sharedItems containsSemiMixedTypes="0" containsNonDate="0" containsDate="1" containsString="0" minDate="2024-10-20T00:00:00" maxDate="2025-12-07T00:00:00"/>
    </cacheField>
    <cacheField name="Mês" numFmtId="1">
      <sharedItems containsSemiMixedTypes="0" containsString="0" containsNumber="1" containsInteger="1" minValue="1" maxValue="12" count="4">
        <n v="10"/>
        <n v="11"/>
        <n v="12"/>
        <n v="1"/>
      </sharedItems>
    </cacheField>
    <cacheField name="Tipo" numFmtId="0">
      <sharedItems count="2">
        <s v="ENTRADA"/>
        <s v="SAÍDA"/>
      </sharedItems>
    </cacheField>
    <cacheField name="Categoria" numFmtId="0">
      <sharedItems count="7">
        <s v="Renda Fixa"/>
        <s v="Itens Básicos"/>
        <s v="Casa"/>
        <s v="Vestuário"/>
        <s v="Presente"/>
        <s v="Saúde"/>
        <s v="Pet Care"/>
      </sharedItems>
    </cacheField>
    <cacheField name="Descrição" numFmtId="0">
      <sharedItems/>
    </cacheField>
    <cacheField name="Valor" numFmtId="44">
      <sharedItems containsSemiMixedTypes="0" containsString="0" containsNumber="1" containsInteger="1" minValue="100" maxValue="7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7862750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d v="2024-10-20T00:00:00"/>
    <x v="0"/>
    <x v="0"/>
    <x v="0"/>
    <s v="Salário Mensal"/>
    <n v="7000"/>
    <s v="Trasferência"/>
    <s v="Recebido"/>
  </r>
  <r>
    <d v="2024-10-21T00:00:00"/>
    <x v="0"/>
    <x v="1"/>
    <x v="1"/>
    <s v="Supermercado"/>
    <n v="300"/>
    <s v="Débito"/>
    <s v="Pago"/>
  </r>
  <r>
    <d v="2024-10-26T00:00:00"/>
    <x v="0"/>
    <x v="1"/>
    <x v="2"/>
    <s v="Diarista"/>
    <n v="500"/>
    <s v="Pix"/>
    <s v="Pago"/>
  </r>
  <r>
    <d v="2024-11-20T00:00:00"/>
    <x v="1"/>
    <x v="0"/>
    <x v="0"/>
    <s v="Salário Mensal"/>
    <n v="7000"/>
    <s v="Trasferência"/>
    <s v="Recebido"/>
  </r>
  <r>
    <d v="2024-11-20T00:00:00"/>
    <x v="1"/>
    <x v="0"/>
    <x v="0"/>
    <s v="Salário Mensal"/>
    <n v="7000"/>
    <s v="Trasferência"/>
    <s v="Recebido"/>
  </r>
  <r>
    <d v="2024-11-26T00:00:00"/>
    <x v="1"/>
    <x v="1"/>
    <x v="2"/>
    <s v="Cortinas"/>
    <n v="350"/>
    <s v="Débito"/>
    <s v="Pago"/>
  </r>
  <r>
    <d v="2024-11-26T00:00:00"/>
    <x v="1"/>
    <x v="1"/>
    <x v="3"/>
    <s v="Roupas Joaquim"/>
    <n v="400"/>
    <s v="Débito"/>
    <s v="Pago"/>
  </r>
  <r>
    <d v="2024-12-01T00:00:00"/>
    <x v="2"/>
    <x v="1"/>
    <x v="1"/>
    <s v="Supermercado"/>
    <n v="300"/>
    <s v="Débito"/>
    <s v="Pago"/>
  </r>
  <r>
    <d v="2024-12-01T00:00:00"/>
    <x v="2"/>
    <x v="1"/>
    <x v="1"/>
    <s v="Supermercado"/>
    <n v="300"/>
    <s v="Débito"/>
    <s v="Pago"/>
  </r>
  <r>
    <d v="2024-12-15T00:00:00"/>
    <x v="2"/>
    <x v="1"/>
    <x v="3"/>
    <s v="Roupas "/>
    <n v="400"/>
    <s v="Débito"/>
    <s v="Pago"/>
  </r>
  <r>
    <d v="2024-12-15T00:00:00"/>
    <x v="2"/>
    <x v="1"/>
    <x v="3"/>
    <s v="Roupas "/>
    <n v="400"/>
    <s v="Débito"/>
    <s v="Pago"/>
  </r>
  <r>
    <d v="2024-12-19T00:00:00"/>
    <x v="2"/>
    <x v="1"/>
    <x v="4"/>
    <s v="Compras natal "/>
    <n v="600"/>
    <s v="Débito"/>
    <s v="Pago"/>
  </r>
  <r>
    <d v="2024-12-19T00:00:00"/>
    <x v="2"/>
    <x v="1"/>
    <x v="4"/>
    <s v="Compras natal "/>
    <n v="600"/>
    <s v="Débito"/>
    <s v="Pago"/>
  </r>
  <r>
    <d v="2024-12-21T00:00:00"/>
    <x v="2"/>
    <x v="1"/>
    <x v="1"/>
    <s v="Supermercado"/>
    <n v="200"/>
    <s v="Débito"/>
    <s v="Pago"/>
  </r>
  <r>
    <d v="2024-12-26T00:00:00"/>
    <x v="2"/>
    <x v="1"/>
    <x v="2"/>
    <s v="Diarista"/>
    <n v="500"/>
    <s v="Pix"/>
    <s v="Pago"/>
  </r>
  <r>
    <d v="2024-12-26T00:00:00"/>
    <x v="2"/>
    <x v="1"/>
    <x v="2"/>
    <s v="Cortinas"/>
    <n v="350"/>
    <s v="Débito"/>
    <s v="Pago"/>
  </r>
  <r>
    <d v="2024-12-26T00:00:00"/>
    <x v="2"/>
    <x v="1"/>
    <x v="3"/>
    <s v="Roupas Joaquim"/>
    <n v="400"/>
    <s v="Débito"/>
    <s v="Pago"/>
  </r>
  <r>
    <d v="2025-01-02T00:00:00"/>
    <x v="3"/>
    <x v="1"/>
    <x v="1"/>
    <s v="Farmácia"/>
    <n v="200"/>
    <s v="Débito"/>
    <s v="Pago"/>
  </r>
  <r>
    <d v="2025-01-06T00:00:00"/>
    <x v="3"/>
    <x v="1"/>
    <x v="5"/>
    <s v="Academia"/>
    <n v="360"/>
    <s v="Débito"/>
    <s v="Pago"/>
  </r>
  <r>
    <d v="2025-01-07T00:00:00"/>
    <x v="3"/>
    <x v="1"/>
    <x v="6"/>
    <s v="Pet shop"/>
    <n v="125"/>
    <s v="Débito"/>
    <s v="Pago"/>
  </r>
  <r>
    <d v="2025-01-07T00:00:00"/>
    <x v="3"/>
    <x v="1"/>
    <x v="6"/>
    <s v="Pet shop"/>
    <n v="125"/>
    <s v="Débito"/>
    <s v="Pago"/>
  </r>
  <r>
    <d v="2025-01-10T00:00:00"/>
    <x v="3"/>
    <x v="1"/>
    <x v="5"/>
    <s v="Plano Saúde"/>
    <n v="450"/>
    <s v="Débito"/>
    <s v="Pendente"/>
  </r>
  <r>
    <d v="2025-01-10T00:00:00"/>
    <x v="3"/>
    <x v="1"/>
    <x v="5"/>
    <s v="Plano Saúde"/>
    <n v="450"/>
    <s v="Débito"/>
    <s v="Pendente"/>
  </r>
  <r>
    <d v="2025-12-02T00:00:00"/>
    <x v="2"/>
    <x v="1"/>
    <x v="1"/>
    <s v="Farmácia"/>
    <n v="100"/>
    <s v="Débito"/>
    <s v="Pago"/>
  </r>
  <r>
    <d v="2025-12-06T00:00:00"/>
    <x v="2"/>
    <x v="1"/>
    <x v="5"/>
    <s v="Academia"/>
    <n v="360"/>
    <s v="Débito"/>
    <s v="Pag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77B09-93E3-456B-AE60-786300AE289E}" name="Tabela dinâ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8:B20" firstHeaderRow="1" firstDataRow="1" firstDataCol="1" rowPageCount="1" colPageCount="1"/>
  <pivotFields count="8">
    <pivotField numFmtId="14" showAll="0"/>
    <pivotField numFmtId="1" showAll="0"/>
    <pivotField axis="axisPage" showAll="0">
      <items count="3">
        <item x="0"/>
        <item x="1"/>
        <item t="default"/>
      </items>
    </pivotField>
    <pivotField axis="axisRow" showAll="0">
      <items count="8">
        <item x="2"/>
        <item x="1"/>
        <item x="6"/>
        <item x="4"/>
        <item x="0"/>
        <item x="5"/>
        <item x="3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2">
    <i>
      <x v="4"/>
    </i>
    <i t="grand">
      <x/>
    </i>
  </rowItems>
  <colItems count="1">
    <i/>
  </colItems>
  <pageFields count="1">
    <pageField fld="2" item="0" hier="-1"/>
  </pageFields>
  <dataFields count="1">
    <dataField name="Soma de Valor" fld="5" baseField="2" baseItem="0" numFmtId="164"/>
  </dataFields>
  <chartFormats count="4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D87EB-3DA9-4F69-B73C-4EA802ADD40E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10" firstHeaderRow="1" firstDataRow="1" firstDataCol="1" rowPageCount="1" colPageCount="1"/>
  <pivotFields count="8">
    <pivotField numFmtId="14" showAll="0"/>
    <pivotField numFmtId="1" showAll="0">
      <items count="5">
        <item x="3"/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8">
        <item x="2"/>
        <item x="1"/>
        <item x="6"/>
        <item x="4"/>
        <item x="0"/>
        <item x="5"/>
        <item x="3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Items count="1">
    <i/>
  </colItems>
  <pageFields count="1">
    <pageField fld="2" item="1" hier="-1"/>
  </pageFields>
  <dataFields count="1">
    <dataField name="Soma de Valor" fld="5" baseField="2" baseItem="0" numFmtId="164"/>
  </dataFields>
  <chartFormats count="14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14385959-EE2D-43D2-AA94-A00E071293C8}" sourceName="Mês">
  <pivotTables>
    <pivotTable tabId="3" name="Tabela dinâmica1"/>
  </pivotTables>
  <data>
    <tabular pivotCacheId="786275043">
      <items count="4">
        <i x="3" s="1"/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2D12F742-C2C6-4F5D-A4B8-AFEE6D9FC37F}" sourceName="Categoria">
  <pivotTables>
    <pivotTable tabId="3" name="Tabela dinâmica1"/>
  </pivotTables>
  <data>
    <tabular pivotCacheId="786275043">
      <items count="7">
        <i x="2" s="1"/>
        <i x="1" s="1"/>
        <i x="6" s="1"/>
        <i x="4" s="1"/>
        <i x="5" s="1"/>
        <i x="3" s="1"/>
        <i x="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81F1526B-E5E9-47AD-822D-42A3AA49FA9B}" cache="SegmentaçãodeDados_Mês" caption="Mês" style="SlicerStyleOther1" rowHeight="241300"/>
  <slicer name="Categoria" xr10:uid="{F17982AF-687C-459A-8200-CD4EDD634134}" cache="SegmentaçãodeDados_Categoria" caption="Categoria" style="SlicerStyleOther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FE065-BAAA-4798-BDDC-DBCA989B7EE0}" name="Tbl_operations" displayName="Tbl_operations" ref="A1:H26" totalsRowShown="0">
  <autoFilter ref="A1:H26" xr:uid="{492FE065-BAAA-4798-BDDC-DBCA989B7EE0}"/>
  <sortState xmlns:xlrd2="http://schemas.microsoft.com/office/spreadsheetml/2017/richdata2" ref="A2:H26">
    <sortCondition ref="A1:A26"/>
  </sortState>
  <tableColumns count="8">
    <tableColumn id="1" xr3:uid="{1B63DDE5-DC2A-4190-95E7-509DE05FFA57}" name="Data "/>
    <tableColumn id="8" xr3:uid="{CF6DF6C5-4F56-4788-854F-EC7D9C507C74}" name="Mês" dataDxfId="2">
      <calculatedColumnFormula>MONTH(Tbl_operations[[#This Row],[Data ]])</calculatedColumnFormula>
    </tableColumn>
    <tableColumn id="2" xr3:uid="{77984A3D-FD32-4DDA-99B5-F9298E5772F4}" name="Tipo"/>
    <tableColumn id="3" xr3:uid="{E2F824E9-04E2-4C31-BB4C-814D757C85CC}" name="Categoria"/>
    <tableColumn id="4" xr3:uid="{F925CFB5-9004-4836-9C38-37DB2C816FB5}" name="Descrição"/>
    <tableColumn id="5" xr3:uid="{B513D1CB-D138-417E-823B-336D05C8A822}" name="Valor" dataCellStyle="Moeda"/>
    <tableColumn id="6" xr3:uid="{322A2547-0802-497C-93FE-A8A6FFCF64FD}" name="Operação Bancária"/>
    <tableColumn id="7" xr3:uid="{904D8D94-EFE9-4AEE-B328-60440E1483FB}" name="Statu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F16239-FE22-41EA-8882-A5488E75F1D4}" name="Tabela3" displayName="Tabela3" ref="B5:E9" totalsRowShown="0">
  <autoFilter ref="B5:E9" xr:uid="{00F16239-FE22-41EA-8882-A5488E75F1D4}"/>
  <tableColumns count="4">
    <tableColumn id="1" xr3:uid="{773D9BD1-7AC2-45C1-BA08-ECE19EA7D1B0}" name="Data Lançamento"/>
    <tableColumn id="2" xr3:uid="{FCCE088A-A9E7-49AB-BADF-973019BCC74C}" name="Depósito Reservado" dataCellStyle="Moeda"/>
    <tableColumn id="3" xr3:uid="{DEA73CE9-5E5F-42B1-995C-47C8CCC45BFE}" name="Tipo"/>
    <tableColumn id="4" xr3:uid="{8F5F4680-CA6F-4A4A-ADD2-5B510B042C59}" name="IF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D5F9-3193-411D-B071-9CF1B18A8AF8}">
  <sheetPr>
    <tabColor theme="4" tint="0.39997558519241921"/>
  </sheetPr>
  <dimension ref="A1:H26"/>
  <sheetViews>
    <sheetView workbookViewId="0"/>
  </sheetViews>
  <sheetFormatPr defaultRowHeight="15" x14ac:dyDescent="0.25"/>
  <cols>
    <col min="1" max="1" width="15.7109375" customWidth="1"/>
    <col min="2" max="2" width="15.7109375" style="8" customWidth="1"/>
    <col min="3" max="4" width="16" customWidth="1"/>
    <col min="5" max="5" width="20.28515625" customWidth="1"/>
    <col min="6" max="6" width="17.42578125" customWidth="1"/>
    <col min="7" max="7" width="24" customWidth="1"/>
    <col min="8" max="8" width="14.28515625" customWidth="1"/>
  </cols>
  <sheetData>
    <row r="1" spans="1:8" x14ac:dyDescent="0.25">
      <c r="A1" t="s">
        <v>0</v>
      </c>
      <c r="B1" s="8" t="s">
        <v>36</v>
      </c>
      <c r="C1" t="s">
        <v>1</v>
      </c>
      <c r="D1" t="s">
        <v>4</v>
      </c>
      <c r="E1" t="s">
        <v>2</v>
      </c>
      <c r="F1" t="s">
        <v>3</v>
      </c>
      <c r="G1" t="s">
        <v>5</v>
      </c>
      <c r="H1" t="s">
        <v>6</v>
      </c>
    </row>
    <row r="2" spans="1:8" x14ac:dyDescent="0.25">
      <c r="A2" s="1">
        <v>45585</v>
      </c>
      <c r="B2" s="8">
        <f>MONTH(Tbl_operations[[#This Row],[Data ]])</f>
        <v>10</v>
      </c>
      <c r="C2" t="s">
        <v>7</v>
      </c>
      <c r="D2" t="s">
        <v>8</v>
      </c>
      <c r="E2" t="s">
        <v>20</v>
      </c>
      <c r="F2" s="2">
        <v>7000</v>
      </c>
      <c r="G2" t="s">
        <v>9</v>
      </c>
      <c r="H2" t="s">
        <v>10</v>
      </c>
    </row>
    <row r="3" spans="1:8" x14ac:dyDescent="0.25">
      <c r="A3" s="1">
        <v>45586</v>
      </c>
      <c r="B3" s="8">
        <f>MONTH(Tbl_operations[[#This Row],[Data ]])</f>
        <v>10</v>
      </c>
      <c r="C3" t="s">
        <v>11</v>
      </c>
      <c r="D3" t="s">
        <v>22</v>
      </c>
      <c r="E3" t="s">
        <v>21</v>
      </c>
      <c r="F3" s="2">
        <v>300</v>
      </c>
      <c r="G3" t="s">
        <v>14</v>
      </c>
      <c r="H3" t="s">
        <v>32</v>
      </c>
    </row>
    <row r="4" spans="1:8" x14ac:dyDescent="0.25">
      <c r="A4" s="1">
        <v>45591</v>
      </c>
      <c r="B4" s="8">
        <f>MONTH(Tbl_operations[[#This Row],[Data ]])</f>
        <v>10</v>
      </c>
      <c r="C4" t="s">
        <v>11</v>
      </c>
      <c r="D4" t="s">
        <v>23</v>
      </c>
      <c r="E4" t="s">
        <v>12</v>
      </c>
      <c r="F4" s="2">
        <v>500</v>
      </c>
      <c r="G4" t="s">
        <v>13</v>
      </c>
      <c r="H4" t="s">
        <v>32</v>
      </c>
    </row>
    <row r="5" spans="1:8" x14ac:dyDescent="0.25">
      <c r="A5" s="1">
        <v>45616</v>
      </c>
      <c r="B5" s="8">
        <f>MONTH(Tbl_operations[[#This Row],[Data ]])</f>
        <v>11</v>
      </c>
      <c r="C5" t="s">
        <v>7</v>
      </c>
      <c r="D5" t="s">
        <v>8</v>
      </c>
      <c r="E5" t="s">
        <v>20</v>
      </c>
      <c r="F5" s="2">
        <v>7000</v>
      </c>
      <c r="G5" t="s">
        <v>9</v>
      </c>
      <c r="H5" t="s">
        <v>10</v>
      </c>
    </row>
    <row r="6" spans="1:8" x14ac:dyDescent="0.25">
      <c r="A6" s="1">
        <v>45616</v>
      </c>
      <c r="B6" s="8">
        <f>MONTH(Tbl_operations[[#This Row],[Data ]])</f>
        <v>11</v>
      </c>
      <c r="C6" t="s">
        <v>7</v>
      </c>
      <c r="D6" t="s">
        <v>8</v>
      </c>
      <c r="E6" t="s">
        <v>20</v>
      </c>
      <c r="F6" s="2">
        <v>7000</v>
      </c>
      <c r="G6" t="s">
        <v>9</v>
      </c>
      <c r="H6" t="s">
        <v>10</v>
      </c>
    </row>
    <row r="7" spans="1:8" x14ac:dyDescent="0.25">
      <c r="A7" s="1">
        <v>45622</v>
      </c>
      <c r="B7" s="8">
        <f>MONTH(Tbl_operations[[#This Row],[Data ]])</f>
        <v>11</v>
      </c>
      <c r="C7" t="s">
        <v>11</v>
      </c>
      <c r="D7" t="s">
        <v>23</v>
      </c>
      <c r="E7" t="s">
        <v>26</v>
      </c>
      <c r="F7" s="2">
        <v>350</v>
      </c>
      <c r="G7" t="s">
        <v>14</v>
      </c>
      <c r="H7" t="s">
        <v>32</v>
      </c>
    </row>
    <row r="8" spans="1:8" x14ac:dyDescent="0.25">
      <c r="A8" s="1">
        <v>45622</v>
      </c>
      <c r="B8" s="8">
        <f>MONTH(Tbl_operations[[#This Row],[Data ]])</f>
        <v>11</v>
      </c>
      <c r="C8" t="s">
        <v>11</v>
      </c>
      <c r="D8" t="s">
        <v>27</v>
      </c>
      <c r="E8" t="s">
        <v>28</v>
      </c>
      <c r="F8" s="2">
        <v>400</v>
      </c>
      <c r="G8" t="s">
        <v>14</v>
      </c>
      <c r="H8" t="s">
        <v>32</v>
      </c>
    </row>
    <row r="9" spans="1:8" x14ac:dyDescent="0.25">
      <c r="A9" s="1">
        <v>45627</v>
      </c>
      <c r="B9" s="8">
        <f>MONTH(Tbl_operations[[#This Row],[Data ]])</f>
        <v>12</v>
      </c>
      <c r="C9" t="s">
        <v>11</v>
      </c>
      <c r="D9" t="s">
        <v>22</v>
      </c>
      <c r="E9" t="s">
        <v>21</v>
      </c>
      <c r="F9" s="2">
        <v>300</v>
      </c>
      <c r="G9" t="s">
        <v>14</v>
      </c>
      <c r="H9" t="s">
        <v>32</v>
      </c>
    </row>
    <row r="10" spans="1:8" x14ac:dyDescent="0.25">
      <c r="A10" s="1">
        <v>45627</v>
      </c>
      <c r="B10" s="8">
        <f>MONTH(Tbl_operations[[#This Row],[Data ]])</f>
        <v>12</v>
      </c>
      <c r="C10" t="s">
        <v>11</v>
      </c>
      <c r="D10" t="s">
        <v>22</v>
      </c>
      <c r="E10" t="s">
        <v>21</v>
      </c>
      <c r="F10" s="2">
        <v>300</v>
      </c>
      <c r="G10" t="s">
        <v>14</v>
      </c>
      <c r="H10" t="s">
        <v>32</v>
      </c>
    </row>
    <row r="11" spans="1:8" x14ac:dyDescent="0.25">
      <c r="A11" s="1">
        <v>45641</v>
      </c>
      <c r="B11" s="8">
        <f>MONTH(Tbl_operations[[#This Row],[Data ]])</f>
        <v>12</v>
      </c>
      <c r="C11" t="s">
        <v>11</v>
      </c>
      <c r="D11" t="s">
        <v>27</v>
      </c>
      <c r="E11" t="s">
        <v>29</v>
      </c>
      <c r="F11" s="2">
        <v>400</v>
      </c>
      <c r="G11" t="s">
        <v>14</v>
      </c>
      <c r="H11" t="s">
        <v>32</v>
      </c>
    </row>
    <row r="12" spans="1:8" x14ac:dyDescent="0.25">
      <c r="A12" s="1">
        <v>45641</v>
      </c>
      <c r="B12" s="8">
        <f>MONTH(Tbl_operations[[#This Row],[Data ]])</f>
        <v>12</v>
      </c>
      <c r="C12" t="s">
        <v>11</v>
      </c>
      <c r="D12" t="s">
        <v>27</v>
      </c>
      <c r="E12" t="s">
        <v>29</v>
      </c>
      <c r="F12" s="2">
        <v>400</v>
      </c>
      <c r="G12" t="s">
        <v>14</v>
      </c>
      <c r="H12" t="s">
        <v>32</v>
      </c>
    </row>
    <row r="13" spans="1:8" x14ac:dyDescent="0.25">
      <c r="A13" s="1">
        <v>45645</v>
      </c>
      <c r="B13" s="8">
        <f>MONTH(Tbl_operations[[#This Row],[Data ]])</f>
        <v>12</v>
      </c>
      <c r="C13" t="s">
        <v>11</v>
      </c>
      <c r="D13" t="s">
        <v>30</v>
      </c>
      <c r="E13" t="s">
        <v>31</v>
      </c>
      <c r="F13" s="2">
        <v>600</v>
      </c>
      <c r="G13" t="s">
        <v>14</v>
      </c>
      <c r="H13" t="s">
        <v>32</v>
      </c>
    </row>
    <row r="14" spans="1:8" x14ac:dyDescent="0.25">
      <c r="A14" s="1">
        <v>45645</v>
      </c>
      <c r="B14" s="8">
        <f>MONTH(Tbl_operations[[#This Row],[Data ]])</f>
        <v>12</v>
      </c>
      <c r="C14" t="s">
        <v>11</v>
      </c>
      <c r="D14" t="s">
        <v>30</v>
      </c>
      <c r="E14" t="s">
        <v>31</v>
      </c>
      <c r="F14" s="2">
        <v>600</v>
      </c>
      <c r="G14" t="s">
        <v>14</v>
      </c>
      <c r="H14" t="s">
        <v>32</v>
      </c>
    </row>
    <row r="15" spans="1:8" x14ac:dyDescent="0.25">
      <c r="A15" s="1">
        <v>45647</v>
      </c>
      <c r="B15" s="8">
        <f>MONTH(Tbl_operations[[#This Row],[Data ]])</f>
        <v>12</v>
      </c>
      <c r="C15" t="s">
        <v>11</v>
      </c>
      <c r="D15" t="s">
        <v>22</v>
      </c>
      <c r="E15" t="s">
        <v>21</v>
      </c>
      <c r="F15" s="2">
        <v>200</v>
      </c>
      <c r="G15" t="s">
        <v>14</v>
      </c>
      <c r="H15" t="s">
        <v>32</v>
      </c>
    </row>
    <row r="16" spans="1:8" x14ac:dyDescent="0.25">
      <c r="A16" s="1">
        <v>45652</v>
      </c>
      <c r="B16" s="8">
        <f>MONTH(Tbl_operations[[#This Row],[Data ]])</f>
        <v>12</v>
      </c>
      <c r="C16" t="s">
        <v>11</v>
      </c>
      <c r="D16" t="s">
        <v>23</v>
      </c>
      <c r="E16" t="s">
        <v>12</v>
      </c>
      <c r="F16" s="2">
        <v>500</v>
      </c>
      <c r="G16" t="s">
        <v>13</v>
      </c>
      <c r="H16" t="s">
        <v>32</v>
      </c>
    </row>
    <row r="17" spans="1:8" x14ac:dyDescent="0.25">
      <c r="A17" s="1">
        <v>45652</v>
      </c>
      <c r="B17" s="8">
        <f>MONTH(Tbl_operations[[#This Row],[Data ]])</f>
        <v>12</v>
      </c>
      <c r="C17" t="s">
        <v>11</v>
      </c>
      <c r="D17" t="s">
        <v>23</v>
      </c>
      <c r="E17" t="s">
        <v>26</v>
      </c>
      <c r="F17" s="2">
        <v>350</v>
      </c>
      <c r="G17" t="s">
        <v>14</v>
      </c>
      <c r="H17" t="s">
        <v>32</v>
      </c>
    </row>
    <row r="18" spans="1:8" x14ac:dyDescent="0.25">
      <c r="A18" s="1">
        <v>45652</v>
      </c>
      <c r="B18" s="8">
        <f>MONTH(Tbl_operations[[#This Row],[Data ]])</f>
        <v>12</v>
      </c>
      <c r="C18" t="s">
        <v>11</v>
      </c>
      <c r="D18" t="s">
        <v>27</v>
      </c>
      <c r="E18" t="s">
        <v>28</v>
      </c>
      <c r="F18" s="2">
        <v>400</v>
      </c>
      <c r="G18" t="s">
        <v>14</v>
      </c>
      <c r="H18" t="s">
        <v>32</v>
      </c>
    </row>
    <row r="19" spans="1:8" x14ac:dyDescent="0.25">
      <c r="A19" s="1">
        <v>45659</v>
      </c>
      <c r="B19" s="8">
        <f>MONTH(Tbl_operations[[#This Row],[Data ]])</f>
        <v>1</v>
      </c>
      <c r="C19" t="s">
        <v>11</v>
      </c>
      <c r="D19" t="s">
        <v>22</v>
      </c>
      <c r="E19" t="s">
        <v>15</v>
      </c>
      <c r="F19" s="2">
        <v>200</v>
      </c>
      <c r="G19" t="s">
        <v>14</v>
      </c>
      <c r="H19" t="s">
        <v>32</v>
      </c>
    </row>
    <row r="20" spans="1:8" x14ac:dyDescent="0.25">
      <c r="A20" s="1">
        <v>45663</v>
      </c>
      <c r="B20" s="8">
        <f>MONTH(Tbl_operations[[#This Row],[Data ]])</f>
        <v>1</v>
      </c>
      <c r="C20" t="s">
        <v>11</v>
      </c>
      <c r="D20" t="s">
        <v>24</v>
      </c>
      <c r="E20" t="s">
        <v>16</v>
      </c>
      <c r="F20" s="2">
        <v>360</v>
      </c>
      <c r="G20" t="s">
        <v>14</v>
      </c>
      <c r="H20" t="s">
        <v>32</v>
      </c>
    </row>
    <row r="21" spans="1:8" x14ac:dyDescent="0.25">
      <c r="A21" s="1">
        <v>45664</v>
      </c>
      <c r="B21" s="8">
        <f>MONTH(Tbl_operations[[#This Row],[Data ]])</f>
        <v>1</v>
      </c>
      <c r="C21" t="s">
        <v>11</v>
      </c>
      <c r="D21" t="s">
        <v>25</v>
      </c>
      <c r="E21" t="s">
        <v>17</v>
      </c>
      <c r="F21" s="2">
        <v>125</v>
      </c>
      <c r="G21" t="s">
        <v>14</v>
      </c>
      <c r="H21" t="s">
        <v>32</v>
      </c>
    </row>
    <row r="22" spans="1:8" x14ac:dyDescent="0.25">
      <c r="A22" s="1">
        <v>45664</v>
      </c>
      <c r="B22" s="8">
        <f>MONTH(Tbl_operations[[#This Row],[Data ]])</f>
        <v>1</v>
      </c>
      <c r="C22" t="s">
        <v>11</v>
      </c>
      <c r="D22" t="s">
        <v>25</v>
      </c>
      <c r="E22" t="s">
        <v>17</v>
      </c>
      <c r="F22" s="2">
        <v>125</v>
      </c>
      <c r="G22" t="s">
        <v>14</v>
      </c>
      <c r="H22" t="s">
        <v>32</v>
      </c>
    </row>
    <row r="23" spans="1:8" x14ac:dyDescent="0.25">
      <c r="A23" s="1">
        <v>45667</v>
      </c>
      <c r="B23" s="8">
        <f>MONTH(Tbl_operations[[#This Row],[Data ]])</f>
        <v>1</v>
      </c>
      <c r="C23" t="s">
        <v>11</v>
      </c>
      <c r="D23" t="s">
        <v>24</v>
      </c>
      <c r="E23" t="s">
        <v>18</v>
      </c>
      <c r="F23" s="2">
        <v>450</v>
      </c>
      <c r="G23" t="s">
        <v>14</v>
      </c>
      <c r="H23" t="s">
        <v>19</v>
      </c>
    </row>
    <row r="24" spans="1:8" x14ac:dyDescent="0.25">
      <c r="A24" s="1">
        <v>45667</v>
      </c>
      <c r="B24" s="8">
        <f>MONTH(Tbl_operations[[#This Row],[Data ]])</f>
        <v>1</v>
      </c>
      <c r="C24" t="s">
        <v>11</v>
      </c>
      <c r="D24" t="s">
        <v>24</v>
      </c>
      <c r="E24" t="s">
        <v>18</v>
      </c>
      <c r="F24" s="2">
        <v>450</v>
      </c>
      <c r="G24" t="s">
        <v>14</v>
      </c>
      <c r="H24" t="s">
        <v>19</v>
      </c>
    </row>
    <row r="25" spans="1:8" x14ac:dyDescent="0.25">
      <c r="A25" s="1">
        <v>45993</v>
      </c>
      <c r="B25" s="8">
        <f>MONTH(Tbl_operations[[#This Row],[Data ]])</f>
        <v>12</v>
      </c>
      <c r="C25" t="s">
        <v>11</v>
      </c>
      <c r="D25" t="s">
        <v>22</v>
      </c>
      <c r="E25" t="s">
        <v>15</v>
      </c>
      <c r="F25" s="2">
        <v>100</v>
      </c>
      <c r="G25" t="s">
        <v>14</v>
      </c>
      <c r="H25" t="s">
        <v>32</v>
      </c>
    </row>
    <row r="26" spans="1:8" x14ac:dyDescent="0.25">
      <c r="A26" s="1">
        <v>45997</v>
      </c>
      <c r="B26" s="8">
        <f>MONTH(Tbl_operations[[#This Row],[Data ]])</f>
        <v>12</v>
      </c>
      <c r="C26" t="s">
        <v>11</v>
      </c>
      <c r="D26" t="s">
        <v>24</v>
      </c>
      <c r="E26" t="s">
        <v>16</v>
      </c>
      <c r="F26" s="2">
        <v>360</v>
      </c>
      <c r="G26" t="s">
        <v>14</v>
      </c>
      <c r="H26" t="s">
        <v>32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3F1E-BDF7-4CAE-93F9-BD425C29C966}">
  <sheetPr>
    <tabColor rgb="FFFFC000"/>
  </sheetPr>
  <dimension ref="A1:B20"/>
  <sheetViews>
    <sheetView zoomScale="70" zoomScaleNormal="70" workbookViewId="0">
      <selection activeCell="H9" sqref="H9"/>
    </sheetView>
  </sheetViews>
  <sheetFormatPr defaultRowHeight="15" x14ac:dyDescent="0.25"/>
  <cols>
    <col min="1" max="1" width="18.28515625" bestFit="1" customWidth="1"/>
    <col min="2" max="2" width="13.85546875" bestFit="1" customWidth="1"/>
    <col min="3" max="3" width="12.85546875" bestFit="1" customWidth="1"/>
  </cols>
  <sheetData>
    <row r="1" spans="1:2" x14ac:dyDescent="0.25">
      <c r="A1" s="3" t="s">
        <v>1</v>
      </c>
      <c r="B1" t="s">
        <v>11</v>
      </c>
    </row>
    <row r="3" spans="1:2" x14ac:dyDescent="0.25">
      <c r="A3" s="3" t="s">
        <v>33</v>
      </c>
      <c r="B3" t="s">
        <v>35</v>
      </c>
    </row>
    <row r="4" spans="1:2" x14ac:dyDescent="0.25">
      <c r="A4" s="4" t="s">
        <v>23</v>
      </c>
      <c r="B4" s="5">
        <v>1700</v>
      </c>
    </row>
    <row r="5" spans="1:2" x14ac:dyDescent="0.25">
      <c r="A5" s="4" t="s">
        <v>22</v>
      </c>
      <c r="B5" s="5">
        <v>1400</v>
      </c>
    </row>
    <row r="6" spans="1:2" x14ac:dyDescent="0.25">
      <c r="A6" s="4" t="s">
        <v>25</v>
      </c>
      <c r="B6" s="5">
        <v>250</v>
      </c>
    </row>
    <row r="7" spans="1:2" x14ac:dyDescent="0.25">
      <c r="A7" s="4" t="s">
        <v>30</v>
      </c>
      <c r="B7" s="5">
        <v>1200</v>
      </c>
    </row>
    <row r="8" spans="1:2" x14ac:dyDescent="0.25">
      <c r="A8" s="4" t="s">
        <v>24</v>
      </c>
      <c r="B8" s="5">
        <v>1620</v>
      </c>
    </row>
    <row r="9" spans="1:2" x14ac:dyDescent="0.25">
      <c r="A9" s="4" t="s">
        <v>27</v>
      </c>
      <c r="B9" s="5">
        <v>1600</v>
      </c>
    </row>
    <row r="10" spans="1:2" x14ac:dyDescent="0.25">
      <c r="A10" s="4" t="s">
        <v>34</v>
      </c>
      <c r="B10" s="5">
        <v>7770</v>
      </c>
    </row>
    <row r="16" spans="1:2" x14ac:dyDescent="0.25">
      <c r="A16" s="3" t="s">
        <v>1</v>
      </c>
      <c r="B16" t="s">
        <v>7</v>
      </c>
    </row>
    <row r="18" spans="1:2" x14ac:dyDescent="0.25">
      <c r="A18" s="3" t="s">
        <v>33</v>
      </c>
      <c r="B18" t="s">
        <v>35</v>
      </c>
    </row>
    <row r="19" spans="1:2" x14ac:dyDescent="0.25">
      <c r="A19" s="4" t="s">
        <v>8</v>
      </c>
      <c r="B19" s="5">
        <v>21000</v>
      </c>
    </row>
    <row r="20" spans="1:2" x14ac:dyDescent="0.25">
      <c r="A20" s="4" t="s">
        <v>34</v>
      </c>
      <c r="B20" s="5">
        <v>21000</v>
      </c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CCB7-D5D1-4B45-9D54-674F522C7C73}">
  <dimension ref="A1:U1"/>
  <sheetViews>
    <sheetView showGridLines="0" tabSelected="1" zoomScale="70" zoomScaleNormal="70" workbookViewId="0">
      <selection activeCell="C12" sqref="C12"/>
    </sheetView>
  </sheetViews>
  <sheetFormatPr defaultColWidth="0" defaultRowHeight="15" x14ac:dyDescent="0.25"/>
  <cols>
    <col min="1" max="1" width="32.7109375" style="6" customWidth="1"/>
    <col min="2" max="21" width="9.140625" style="7" customWidth="1"/>
    <col min="22" max="16384" width="9.140625" hidden="1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8F50-4C31-46C1-AABE-D268F848832C}">
  <dimension ref="B2:E9"/>
  <sheetViews>
    <sheetView workbookViewId="0">
      <selection activeCell="M18" sqref="M18"/>
    </sheetView>
  </sheetViews>
  <sheetFormatPr defaultRowHeight="15" x14ac:dyDescent="0.25"/>
  <cols>
    <col min="2" max="2" width="18.28515625" customWidth="1"/>
    <col min="3" max="3" width="21.85546875" customWidth="1"/>
    <col min="4" max="4" width="19.5703125" customWidth="1"/>
    <col min="5" max="5" width="16.7109375" customWidth="1"/>
  </cols>
  <sheetData>
    <row r="2" spans="2:5" x14ac:dyDescent="0.25">
      <c r="B2" s="9" t="s">
        <v>44</v>
      </c>
      <c r="C2" s="10">
        <f>SUM(Tabela3[Depósito Reservado])</f>
        <v>8500</v>
      </c>
    </row>
    <row r="3" spans="2:5" x14ac:dyDescent="0.25">
      <c r="B3" s="9" t="s">
        <v>45</v>
      </c>
      <c r="C3" s="10">
        <v>30000</v>
      </c>
    </row>
    <row r="5" spans="2:5" x14ac:dyDescent="0.25">
      <c r="B5" t="s">
        <v>37</v>
      </c>
      <c r="C5" s="2" t="s">
        <v>38</v>
      </c>
      <c r="D5" t="s">
        <v>1</v>
      </c>
      <c r="E5" t="s">
        <v>39</v>
      </c>
    </row>
    <row r="6" spans="2:5" x14ac:dyDescent="0.25">
      <c r="B6" s="1">
        <v>45565</v>
      </c>
      <c r="C6" s="2">
        <v>5000</v>
      </c>
      <c r="D6" t="s">
        <v>8</v>
      </c>
      <c r="E6" t="s">
        <v>40</v>
      </c>
    </row>
    <row r="7" spans="2:5" x14ac:dyDescent="0.25">
      <c r="B7" s="1">
        <v>45595</v>
      </c>
      <c r="C7" s="2">
        <v>1000</v>
      </c>
      <c r="D7" t="s">
        <v>42</v>
      </c>
      <c r="E7" t="s">
        <v>41</v>
      </c>
    </row>
    <row r="8" spans="2:5" x14ac:dyDescent="0.25">
      <c r="B8" s="1">
        <v>45626</v>
      </c>
      <c r="C8" s="2">
        <v>2000</v>
      </c>
      <c r="D8" t="s">
        <v>43</v>
      </c>
      <c r="E8" t="s">
        <v>40</v>
      </c>
    </row>
    <row r="9" spans="2:5" x14ac:dyDescent="0.25">
      <c r="B9" s="1">
        <v>45656</v>
      </c>
      <c r="C9" s="2">
        <v>500</v>
      </c>
      <c r="D9" t="s">
        <v>43</v>
      </c>
      <c r="E9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Controller</vt:lpstr>
      <vt:lpstr>Dashboard</vt:lpstr>
      <vt:lpstr>Caixinha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Espindola Anderle</dc:creator>
  <cp:lastModifiedBy>Caroline Espindola Anderle</cp:lastModifiedBy>
  <dcterms:created xsi:type="dcterms:W3CDTF">2025-01-07T11:52:02Z</dcterms:created>
  <dcterms:modified xsi:type="dcterms:W3CDTF">2025-01-07T14:04:19Z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2025-01-07T12:01:19Z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e92c46e6-4cd6-49f8-b6d3-411d8d39c6cd</vt:lpwstr>
  </property>
  <property fmtid="{D5CDD505-2E9C-101B-9397-08002B2CF9AE}" pid="8" name="MSIP_Label_fde7aacd-7cc4-4c31-9e6f-7ef306428f09_ContentBits">
    <vt:lpwstr>1</vt:lpwstr>
  </property>
</Properties>
</file>